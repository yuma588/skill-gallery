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任务列表" sheetId="2" state="visible" r:id="rId2"/>
    <sheet xmlns:r="http://schemas.openxmlformats.org/officeDocument/2006/relationships" name="团队信息" sheetId="3" state="visible" r:id="rId3"/>
    <sheet xmlns:r="http://schemas.openxmlformats.org/officeDocument/2006/relationships" name="进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b val="1"/>
      <color rgb="00006100"/>
      <sz val="10"/>
    </font>
    <font>
      <name val="微软雅黑"/>
      <b val="1"/>
      <color rgb="009C5700"/>
      <sz val="10"/>
    </font>
    <font>
      <name val="微软雅黑"/>
      <b val="1"/>
      <color rgb="001B5E20"/>
      <sz val="10"/>
    </font>
    <font>
      <name val="微软雅黑"/>
      <b val="1"/>
      <color rgb="009C0006"/>
      <sz val="10"/>
    </font>
    <font>
      <name val="微软雅黑"/>
      <b val="1"/>
      <color rgb="00C00000"/>
      <sz val="10"/>
    </font>
    <font>
      <name val="微软雅黑"/>
      <b val="1"/>
      <color rgb="00ED7D31"/>
      <sz val="10"/>
    </font>
    <font>
      <name val="微软雅黑"/>
      <b val="1"/>
      <color rgb="0000B050"/>
      <sz val="10"/>
    </font>
  </fonts>
  <fills count="8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📊 项目进度跟踪系统</t>
        </is>
      </c>
    </row>
    <row r="3">
      <c r="A3" s="2" t="inlineStr">
        <is>
          <t>项目信息</t>
        </is>
      </c>
      <c r="B3" s="3" t="inlineStr">
        <is>
          <t>项目名称</t>
        </is>
      </c>
      <c r="C3" s="3" t="inlineStr">
        <is>
          <t>数字化转型项目</t>
        </is>
      </c>
    </row>
    <row r="4">
      <c r="A4" s="2" t="n"/>
      <c r="B4" s="3" t="inlineStr">
        <is>
          <t>项目经理</t>
        </is>
      </c>
      <c r="C4" s="3" t="inlineStr">
        <is>
          <t>张三</t>
        </is>
      </c>
    </row>
    <row r="5">
      <c r="A5" s="2" t="n"/>
      <c r="B5" s="3" t="inlineStr">
        <is>
          <t>开始日期</t>
        </is>
      </c>
      <c r="C5" s="3" t="inlineStr">
        <is>
          <t>2026-01-01</t>
        </is>
      </c>
    </row>
    <row r="6">
      <c r="A6" s="2" t="n"/>
      <c r="B6" s="3" t="inlineStr">
        <is>
          <t>结束日期</t>
        </is>
      </c>
      <c r="C6" s="3" t="inlineStr">
        <is>
          <t>2026-06-30</t>
        </is>
      </c>
    </row>
    <row r="7">
      <c r="A7" s="2" t="n"/>
      <c r="B7" s="3" t="inlineStr">
        <is>
          <t>项目周期</t>
        </is>
      </c>
      <c r="C7" s="3" t="inlineStr">
        <is>
          <t>181天</t>
        </is>
      </c>
    </row>
    <row r="10" ht="25" customHeight="1">
      <c r="A10" s="4" t="inlineStr">
        <is>
          <t>📈 关键指标</t>
        </is>
      </c>
    </row>
    <row r="11">
      <c r="A11" s="5" t="inlineStr">
        <is>
          <t>指标</t>
        </is>
      </c>
      <c r="B11" s="5" t="inlineStr">
        <is>
          <t>数值</t>
        </is>
      </c>
      <c r="C11" s="5" t="inlineStr">
        <is>
          <t>状态</t>
        </is>
      </c>
    </row>
    <row r="12">
      <c r="A12" s="6" t="inlineStr">
        <is>
          <t>总任务数</t>
        </is>
      </c>
      <c r="B12" s="3" t="inlineStr">
        <is>
          <t>24</t>
        </is>
      </c>
      <c r="C12" s="3">
        <f>COUNTA(任务列表!A2:A25)</f>
        <v/>
      </c>
    </row>
    <row r="13">
      <c r="A13" s="6" t="inlineStr">
        <is>
          <t>已完成</t>
        </is>
      </c>
      <c r="B13" s="3" t="inlineStr">
        <is>
          <t>8</t>
        </is>
      </c>
      <c r="C13" s="3">
        <f>COUNTIF(任务列表!H:H,"已完成")</f>
        <v/>
      </c>
    </row>
    <row r="14">
      <c r="A14" s="6" t="inlineStr">
        <is>
          <t>进行中</t>
        </is>
      </c>
      <c r="B14" s="3" t="inlineStr">
        <is>
          <t>10</t>
        </is>
      </c>
      <c r="C14" s="3">
        <f>COUNTIF(任务列表!H:H,"进行中")</f>
        <v/>
      </c>
    </row>
    <row r="15">
      <c r="A15" s="6" t="inlineStr">
        <is>
          <t>未开始</t>
        </is>
      </c>
      <c r="B15" s="3" t="inlineStr">
        <is>
          <t>5</t>
        </is>
      </c>
      <c r="C15" s="3">
        <f>COUNTIF(任务列表!H:H,"未开始")</f>
        <v/>
      </c>
    </row>
    <row r="16">
      <c r="A16" s="6" t="inlineStr">
        <is>
          <t>已延期</t>
        </is>
      </c>
      <c r="B16" s="3" t="inlineStr">
        <is>
          <t>1</t>
        </is>
      </c>
      <c r="C16" s="3">
        <f>COUNTIF(任务列表!H:H,"已延期")</f>
        <v/>
      </c>
    </row>
    <row r="17">
      <c r="A17" s="6" t="inlineStr">
        <is>
          <t>总体进度</t>
        </is>
      </c>
      <c r="B17" s="3" t="inlineStr">
        <is>
          <t>54%</t>
        </is>
      </c>
      <c r="C17" s="3">
        <f>AVERAGE(任务列表!F:F)</f>
        <v/>
      </c>
    </row>
    <row r="18">
      <c r="A18" s="6" t="inlineStr">
        <is>
          <t>高优先级</t>
        </is>
      </c>
      <c r="B18" s="3" t="inlineStr">
        <is>
          <t>6</t>
        </is>
      </c>
      <c r="C18" s="3">
        <f>COUNTIF(任务列表!G:G,"高")</f>
        <v/>
      </c>
    </row>
    <row r="19">
      <c r="A19" s="6" t="inlineStr">
        <is>
          <t>中优先级</t>
        </is>
      </c>
      <c r="B19" s="3" t="inlineStr">
        <is>
          <t>14</t>
        </is>
      </c>
      <c r="C19" s="3">
        <f>COUNTIF(任务列表!G:G,"中")</f>
        <v/>
      </c>
    </row>
    <row r="20">
      <c r="A20" s="6" t="inlineStr">
        <is>
          <t>低优先级</t>
        </is>
      </c>
      <c r="B20" s="3" t="inlineStr">
        <is>
          <t>4</t>
        </is>
      </c>
      <c r="C20" s="3">
        <f>COUNTIF(任务列表!G:G,"低")</f>
        <v/>
      </c>
    </row>
    <row r="22" ht="25" customHeight="1">
      <c r="A22" s="4" t="inlineStr">
        <is>
          <t>状态图例</t>
        </is>
      </c>
    </row>
    <row r="23">
      <c r="A23" s="7" t="inlineStr">
        <is>
          <t>已完成</t>
        </is>
      </c>
    </row>
    <row r="24">
      <c r="A24" s="8" t="inlineStr">
        <is>
          <t>进行中</t>
        </is>
      </c>
    </row>
    <row r="25">
      <c r="A25" s="9" t="inlineStr">
        <is>
          <t>未开始</t>
        </is>
      </c>
    </row>
    <row r="26">
      <c r="A26" s="10" t="inlineStr">
        <is>
          <t>已延期</t>
        </is>
      </c>
    </row>
  </sheetData>
  <mergeCells count="3">
    <mergeCell ref="A1:C1"/>
    <mergeCell ref="A22:C2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30" customWidth="1" min="9" max="9"/>
  </cols>
  <sheetData>
    <row r="1" ht="30" customHeight="1">
      <c r="A1" s="1" t="inlineStr">
        <is>
          <t>📋 任务跟踪表</t>
        </is>
      </c>
    </row>
    <row r="2" ht="25" customHeight="1">
      <c r="A2" s="11" t="inlineStr">
        <is>
          <t>ID</t>
        </is>
      </c>
      <c r="B2" s="11" t="inlineStr">
        <is>
          <t>任务名称</t>
        </is>
      </c>
      <c r="C2" s="11" t="inlineStr">
        <is>
          <t>负责人</t>
        </is>
      </c>
      <c r="D2" s="11" t="inlineStr">
        <is>
          <t>开始日期</t>
        </is>
      </c>
      <c r="E2" s="11" t="inlineStr">
        <is>
          <t>结束日期</t>
        </is>
      </c>
      <c r="F2" s="11" t="inlineStr">
        <is>
          <t>进度(%)</t>
        </is>
      </c>
      <c r="G2" s="11" t="inlineStr">
        <is>
          <t>优先级</t>
        </is>
      </c>
      <c r="H2" s="11" t="inlineStr">
        <is>
          <t>状态</t>
        </is>
      </c>
      <c r="I2" s="11" t="inlineStr">
        <is>
          <t>备注</t>
        </is>
      </c>
    </row>
    <row r="3">
      <c r="A3" s="12" t="inlineStr">
        <is>
          <t>T01</t>
        </is>
      </c>
      <c r="B3" s="13" t="inlineStr">
        <is>
          <t>需求分析与规划</t>
        </is>
      </c>
      <c r="C3" s="12" t="inlineStr">
        <is>
          <t>张三</t>
        </is>
      </c>
      <c r="D3" s="14" t="inlineStr">
        <is>
          <t>2026-01-01</t>
        </is>
      </c>
      <c r="E3" s="14" t="inlineStr">
        <is>
          <t>2026-01-15</t>
        </is>
      </c>
      <c r="F3" s="15" t="n">
        <v>100</v>
      </c>
      <c r="G3" s="16" t="inlineStr">
        <is>
          <t>高</t>
        </is>
      </c>
      <c r="H3" s="17" t="inlineStr">
        <is>
          <t>已完成</t>
        </is>
      </c>
      <c r="I3" s="13" t="inlineStr">
        <is>
          <t>需求文档已确认</t>
        </is>
      </c>
    </row>
    <row r="4">
      <c r="A4" s="12" t="inlineStr">
        <is>
          <t>T02</t>
        </is>
      </c>
      <c r="B4" s="13" t="inlineStr">
        <is>
          <t>系统架构设计</t>
        </is>
      </c>
      <c r="C4" s="12" t="inlineStr">
        <is>
          <t>李四</t>
        </is>
      </c>
      <c r="D4" s="14" t="inlineStr">
        <is>
          <t>2026-01-16</t>
        </is>
      </c>
      <c r="E4" s="14" t="inlineStr">
        <is>
          <t>2026-01-31</t>
        </is>
      </c>
      <c r="F4" s="15" t="n">
        <v>100</v>
      </c>
      <c r="G4" s="16" t="inlineStr">
        <is>
          <t>高</t>
        </is>
      </c>
      <c r="H4" s="17" t="inlineStr">
        <is>
          <t>已完成</t>
        </is>
      </c>
      <c r="I4" s="13" t="inlineStr">
        <is>
          <t>架构评审通过</t>
        </is>
      </c>
    </row>
    <row r="5">
      <c r="A5" s="12" t="inlineStr">
        <is>
          <t>T03</t>
        </is>
      </c>
      <c r="B5" s="13" t="inlineStr">
        <is>
          <t>数据库设计</t>
        </is>
      </c>
      <c r="C5" s="12" t="inlineStr">
        <is>
          <t>王五</t>
        </is>
      </c>
      <c r="D5" s="14" t="inlineStr">
        <is>
          <t>2026-01-17</t>
        </is>
      </c>
      <c r="E5" s="14" t="inlineStr">
        <is>
          <t>2026-02-05</t>
        </is>
      </c>
      <c r="F5" s="15" t="n">
        <v>100</v>
      </c>
      <c r="G5" s="16" t="inlineStr">
        <is>
          <t>高</t>
        </is>
      </c>
      <c r="H5" s="17" t="inlineStr">
        <is>
          <t>已完成</t>
        </is>
      </c>
      <c r="I5" s="13" t="inlineStr">
        <is>
          <t>数据库建模完成</t>
        </is>
      </c>
    </row>
    <row r="6">
      <c r="A6" s="12" t="inlineStr">
        <is>
          <t>T04</t>
        </is>
      </c>
      <c r="B6" s="13" t="inlineStr">
        <is>
          <t>前端框架搭建</t>
        </is>
      </c>
      <c r="C6" s="12" t="inlineStr">
        <is>
          <t>赵六</t>
        </is>
      </c>
      <c r="D6" s="14" t="inlineStr">
        <is>
          <t>2026-02-01</t>
        </is>
      </c>
      <c r="E6" s="14" t="inlineStr">
        <is>
          <t>2026-02-20</t>
        </is>
      </c>
      <c r="F6" s="15" t="n">
        <v>80</v>
      </c>
      <c r="G6" s="16" t="inlineStr">
        <is>
          <t>高</t>
        </is>
      </c>
      <c r="H6" s="18" t="inlineStr">
        <is>
          <t>进行中</t>
        </is>
      </c>
      <c r="I6" s="13" t="inlineStr">
        <is>
          <t>正在开发UI组件</t>
        </is>
      </c>
    </row>
    <row r="7">
      <c r="A7" s="12" t="inlineStr">
        <is>
          <t>T05</t>
        </is>
      </c>
      <c r="B7" s="13" t="inlineStr">
        <is>
          <t>后端API开发</t>
        </is>
      </c>
      <c r="C7" s="12" t="inlineStr">
        <is>
          <t>钱七</t>
        </is>
      </c>
      <c r="D7" s="14" t="inlineStr">
        <is>
          <t>2026-02-06</t>
        </is>
      </c>
      <c r="E7" s="14" t="inlineStr">
        <is>
          <t>2026-03-02</t>
        </is>
      </c>
      <c r="F7" s="15" t="n">
        <v>70</v>
      </c>
      <c r="G7" s="16" t="inlineStr">
        <is>
          <t>高</t>
        </is>
      </c>
      <c r="H7" s="18" t="inlineStr">
        <is>
          <t>进行中</t>
        </is>
      </c>
      <c r="I7" s="13" t="inlineStr">
        <is>
          <t>核心接口已完成80%</t>
        </is>
      </c>
    </row>
    <row r="8">
      <c r="A8" s="12" t="inlineStr">
        <is>
          <t>T06</t>
        </is>
      </c>
      <c r="B8" s="13" t="inlineStr">
        <is>
          <t>用户认证模块</t>
        </is>
      </c>
      <c r="C8" s="12" t="inlineStr">
        <is>
          <t>孙八</t>
        </is>
      </c>
      <c r="D8" s="14" t="inlineStr">
        <is>
          <t>2026-02-10</t>
        </is>
      </c>
      <c r="E8" s="14" t="inlineStr">
        <is>
          <t>2026-02-25</t>
        </is>
      </c>
      <c r="F8" s="15" t="n">
        <v>90</v>
      </c>
      <c r="G8" s="16" t="inlineStr">
        <is>
          <t>高</t>
        </is>
      </c>
      <c r="H8" s="18" t="inlineStr">
        <is>
          <t>进行中</t>
        </is>
      </c>
      <c r="I8" s="13" t="inlineStr">
        <is>
          <t>正在测试</t>
        </is>
      </c>
    </row>
    <row r="9">
      <c r="A9" s="12" t="inlineStr">
        <is>
          <t>T07</t>
        </is>
      </c>
      <c r="B9" s="13" t="inlineStr">
        <is>
          <t>数据可视化</t>
        </is>
      </c>
      <c r="C9" s="12" t="inlineStr">
        <is>
          <t>周九</t>
        </is>
      </c>
      <c r="D9" s="14" t="inlineStr">
        <is>
          <t>2026-02-15</t>
        </is>
      </c>
      <c r="E9" s="14" t="inlineStr">
        <is>
          <t>2026-03-12</t>
        </is>
      </c>
      <c r="F9" s="15" t="n">
        <v>60</v>
      </c>
      <c r="G9" s="19" t="inlineStr">
        <is>
          <t>中</t>
        </is>
      </c>
      <c r="H9" s="18" t="inlineStr">
        <is>
          <t>进行中</t>
        </is>
      </c>
      <c r="I9" s="13" t="inlineStr">
        <is>
          <t>图表组件开发中</t>
        </is>
      </c>
    </row>
    <row r="10">
      <c r="A10" s="12" t="inlineStr">
        <is>
          <t>T08</t>
        </is>
      </c>
      <c r="B10" s="13" t="inlineStr">
        <is>
          <t>报表功能</t>
        </is>
      </c>
      <c r="C10" s="12" t="inlineStr">
        <is>
          <t>吴十</t>
        </is>
      </c>
      <c r="D10" s="14" t="inlineStr">
        <is>
          <t>2026-02-20</t>
        </is>
      </c>
      <c r="E10" s="14" t="inlineStr">
        <is>
          <t>2026-03-17</t>
        </is>
      </c>
      <c r="F10" s="15" t="n">
        <v>45</v>
      </c>
      <c r="G10" s="19" t="inlineStr">
        <is>
          <t>中</t>
        </is>
      </c>
      <c r="H10" s="18" t="inlineStr">
        <is>
          <t>进行中</t>
        </is>
      </c>
      <c r="I10" s="13" t="inlineStr">
        <is>
          <t>数据查询优化</t>
        </is>
      </c>
    </row>
    <row r="11">
      <c r="A11" s="12" t="inlineStr">
        <is>
          <t>T09</t>
        </is>
      </c>
      <c r="B11" s="13" t="inlineStr">
        <is>
          <t>移动端适配</t>
        </is>
      </c>
      <c r="C11" s="12" t="inlineStr">
        <is>
          <t>郑十一</t>
        </is>
      </c>
      <c r="D11" s="14" t="inlineStr">
        <is>
          <t>2026-02-25</t>
        </is>
      </c>
      <c r="E11" s="14" t="inlineStr">
        <is>
          <t>2026-03-22</t>
        </is>
      </c>
      <c r="F11" s="15" t="n">
        <v>30</v>
      </c>
      <c r="G11" s="19" t="inlineStr">
        <is>
          <t>中</t>
        </is>
      </c>
      <c r="H11" s="18" t="inlineStr">
        <is>
          <t>进行中</t>
        </is>
      </c>
      <c r="I11" s="13" t="inlineStr">
        <is>
          <t>响应式设计调整</t>
        </is>
      </c>
    </row>
    <row r="12">
      <c r="A12" s="12" t="inlineStr">
        <is>
          <t>T10</t>
        </is>
      </c>
      <c r="B12" s="13" t="inlineStr">
        <is>
          <t>性能优化</t>
        </is>
      </c>
      <c r="C12" s="12" t="inlineStr">
        <is>
          <t>王十二</t>
        </is>
      </c>
      <c r="D12" s="14" t="inlineStr">
        <is>
          <t>2026-03-02</t>
        </is>
      </c>
      <c r="E12" s="14" t="inlineStr">
        <is>
          <t>2026-03-27</t>
        </is>
      </c>
      <c r="F12" s="15" t="n">
        <v>20</v>
      </c>
      <c r="G12" s="19" t="inlineStr">
        <is>
          <t>中</t>
        </is>
      </c>
      <c r="H12" s="18" t="inlineStr">
        <is>
          <t>进行中</t>
        </is>
      </c>
      <c r="I12" s="13" t="inlineStr">
        <is>
          <t>代码重构进行中</t>
        </is>
      </c>
    </row>
    <row r="13">
      <c r="A13" s="12" t="inlineStr">
        <is>
          <t>T11</t>
        </is>
      </c>
      <c r="B13" s="13" t="inlineStr">
        <is>
          <t>单元测试</t>
        </is>
      </c>
      <c r="C13" s="12" t="inlineStr">
        <is>
          <t>李十三</t>
        </is>
      </c>
      <c r="D13" s="14" t="inlineStr">
        <is>
          <t>2026-01-31</t>
        </is>
      </c>
      <c r="E13" s="14" t="inlineStr">
        <is>
          <t>2026-02-15</t>
        </is>
      </c>
      <c r="F13" s="15" t="n">
        <v>100</v>
      </c>
      <c r="G13" s="16" t="inlineStr">
        <is>
          <t>高</t>
        </is>
      </c>
      <c r="H13" s="17" t="inlineStr">
        <is>
          <t>已完成</t>
        </is>
      </c>
      <c r="I13" s="13" t="inlineStr">
        <is>
          <t>测试覆盖率90%</t>
        </is>
      </c>
    </row>
    <row r="14">
      <c r="A14" s="12" t="inlineStr">
        <is>
          <t>T12</t>
        </is>
      </c>
      <c r="B14" s="13" t="inlineStr">
        <is>
          <t>集成测试</t>
        </is>
      </c>
      <c r="C14" s="12" t="inlineStr">
        <is>
          <t>赵十四</t>
        </is>
      </c>
      <c r="D14" s="14" t="inlineStr">
        <is>
          <t>2026-02-20</t>
        </is>
      </c>
      <c r="E14" s="14" t="inlineStr">
        <is>
          <t>2026-03-07</t>
        </is>
      </c>
      <c r="F14" s="15" t="n">
        <v>75</v>
      </c>
      <c r="G14" s="16" t="inlineStr">
        <is>
          <t>高</t>
        </is>
      </c>
      <c r="H14" s="18" t="inlineStr">
        <is>
          <t>进行中</t>
        </is>
      </c>
      <c r="I14" s="13" t="inlineStr">
        <is>
          <t>自动化测试脚本</t>
        </is>
      </c>
    </row>
    <row r="15">
      <c r="A15" s="12" t="inlineStr">
        <is>
          <t>T13</t>
        </is>
      </c>
      <c r="B15" s="13" t="inlineStr">
        <is>
          <t>系统部署</t>
        </is>
      </c>
      <c r="C15" s="12" t="inlineStr">
        <is>
          <t>钱十五</t>
        </is>
      </c>
      <c r="D15" s="14" t="inlineStr">
        <is>
          <t>2026-03-22</t>
        </is>
      </c>
      <c r="E15" s="14" t="inlineStr">
        <is>
          <t>2026-04-01</t>
        </is>
      </c>
      <c r="F15" s="15" t="n">
        <v>0</v>
      </c>
      <c r="G15" s="16" t="inlineStr">
        <is>
          <t>高</t>
        </is>
      </c>
      <c r="H15" s="20" t="inlineStr">
        <is>
          <t>未开始</t>
        </is>
      </c>
      <c r="I15" s="13" t="inlineStr">
        <is>
          <t>等待测试完成</t>
        </is>
      </c>
    </row>
    <row r="16">
      <c r="A16" s="12" t="inlineStr">
        <is>
          <t>T14</t>
        </is>
      </c>
      <c r="B16" s="13" t="inlineStr">
        <is>
          <t>用户培训</t>
        </is>
      </c>
      <c r="C16" s="12" t="inlineStr">
        <is>
          <t>孙十六</t>
        </is>
      </c>
      <c r="D16" s="14" t="inlineStr">
        <is>
          <t>2026-03-27</t>
        </is>
      </c>
      <c r="E16" s="14" t="inlineStr">
        <is>
          <t>2026-04-06</t>
        </is>
      </c>
      <c r="F16" s="15" t="n">
        <v>0</v>
      </c>
      <c r="G16" s="19" t="inlineStr">
        <is>
          <t>中</t>
        </is>
      </c>
      <c r="H16" s="20" t="inlineStr">
        <is>
          <t>未开始</t>
        </is>
      </c>
      <c r="I16" s="13" t="inlineStr">
        <is>
          <t>准备培训材料</t>
        </is>
      </c>
    </row>
    <row r="17">
      <c r="A17" s="12" t="inlineStr">
        <is>
          <t>T15</t>
        </is>
      </c>
      <c r="B17" s="13" t="inlineStr">
        <is>
          <t>文档编写</t>
        </is>
      </c>
      <c r="C17" s="12" t="inlineStr">
        <is>
          <t>周十七</t>
        </is>
      </c>
      <c r="D17" s="14" t="inlineStr">
        <is>
          <t>2026-01-21</t>
        </is>
      </c>
      <c r="E17" s="14" t="inlineStr">
        <is>
          <t>2026-02-10</t>
        </is>
      </c>
      <c r="F17" s="15" t="n">
        <v>100</v>
      </c>
      <c r="G17" s="19" t="inlineStr">
        <is>
          <t>中</t>
        </is>
      </c>
      <c r="H17" s="17" t="inlineStr">
        <is>
          <t>已完成</t>
        </is>
      </c>
      <c r="I17" s="13" t="inlineStr">
        <is>
          <t>技术文档已归档</t>
        </is>
      </c>
    </row>
    <row r="18">
      <c r="A18" s="12" t="inlineStr">
        <is>
          <t>T16</t>
        </is>
      </c>
      <c r="B18" s="13" t="inlineStr">
        <is>
          <t>安全审计</t>
        </is>
      </c>
      <c r="C18" s="12" t="inlineStr">
        <is>
          <t>吴十八</t>
        </is>
      </c>
      <c r="D18" s="14" t="inlineStr">
        <is>
          <t>2026-03-12</t>
        </is>
      </c>
      <c r="E18" s="14" t="inlineStr">
        <is>
          <t>2026-03-27</t>
        </is>
      </c>
      <c r="F18" s="15" t="n">
        <v>0</v>
      </c>
      <c r="G18" s="16" t="inlineStr">
        <is>
          <t>高</t>
        </is>
      </c>
      <c r="H18" s="20" t="inlineStr">
        <is>
          <t>未开始</t>
        </is>
      </c>
      <c r="I18" s="13" t="inlineStr">
        <is>
          <t>等待第三方</t>
        </is>
      </c>
    </row>
    <row r="19">
      <c r="A19" s="12" t="inlineStr">
        <is>
          <t>T17</t>
        </is>
      </c>
      <c r="B19" s="13" t="inlineStr">
        <is>
          <t>API文档</t>
        </is>
      </c>
      <c r="C19" s="12" t="inlineStr">
        <is>
          <t>郑十九</t>
        </is>
      </c>
      <c r="D19" s="14" t="inlineStr">
        <is>
          <t>2026-02-10</t>
        </is>
      </c>
      <c r="E19" s="14" t="inlineStr">
        <is>
          <t>2026-03-02</t>
        </is>
      </c>
      <c r="F19" s="15" t="n">
        <v>85</v>
      </c>
      <c r="G19" s="19" t="inlineStr">
        <is>
          <t>中</t>
        </is>
      </c>
      <c r="H19" s="18" t="inlineStr">
        <is>
          <t>进行中</t>
        </is>
      </c>
      <c r="I19" s="13" t="inlineStr">
        <is>
          <t>Swagger文档完善中</t>
        </is>
      </c>
    </row>
    <row r="20">
      <c r="A20" s="12" t="inlineStr">
        <is>
          <t>T18</t>
        </is>
      </c>
      <c r="B20" s="13" t="inlineStr">
        <is>
          <t>Bug修复</t>
        </is>
      </c>
      <c r="C20" s="12" t="inlineStr">
        <is>
          <t>王二十</t>
        </is>
      </c>
      <c r="D20" s="14" t="inlineStr">
        <is>
          <t>2026-01-02</t>
        </is>
      </c>
      <c r="E20" s="14" t="inlineStr">
        <is>
          <t>2026-06-30</t>
        </is>
      </c>
      <c r="F20" s="15" t="n">
        <v>50</v>
      </c>
      <c r="G20" s="16" t="inlineStr">
        <is>
          <t>高</t>
        </is>
      </c>
      <c r="H20" s="18" t="inlineStr">
        <is>
          <t>进行中</t>
        </is>
      </c>
      <c r="I20" s="13" t="inlineStr">
        <is>
          <t>持续修复中</t>
        </is>
      </c>
    </row>
    <row r="21">
      <c r="A21" s="12" t="inlineStr">
        <is>
          <t>T19</t>
        </is>
      </c>
      <c r="B21" s="13" t="inlineStr">
        <is>
          <t>备份策略</t>
        </is>
      </c>
      <c r="C21" s="12" t="inlineStr">
        <is>
          <t>李二十一</t>
        </is>
      </c>
      <c r="D21" s="14" t="inlineStr">
        <is>
          <t>2026-01-16</t>
        </is>
      </c>
      <c r="E21" s="14" t="inlineStr">
        <is>
          <t>2026-01-31</t>
        </is>
      </c>
      <c r="F21" s="15" t="n">
        <v>100</v>
      </c>
      <c r="G21" s="16" t="inlineStr">
        <is>
          <t>高</t>
        </is>
      </c>
      <c r="H21" s="17" t="inlineStr">
        <is>
          <t>已完成</t>
        </is>
      </c>
      <c r="I21" s="13" t="inlineStr">
        <is>
          <t>备份系统已上线</t>
        </is>
      </c>
    </row>
    <row r="22">
      <c r="A22" s="12" t="inlineStr">
        <is>
          <t>T20</t>
        </is>
      </c>
      <c r="B22" s="13" t="inlineStr">
        <is>
          <t>监控系统</t>
        </is>
      </c>
      <c r="C22" s="12" t="inlineStr">
        <is>
          <t>赵二十二</t>
        </is>
      </c>
      <c r="D22" s="14" t="inlineStr">
        <is>
          <t>2026-01-26</t>
        </is>
      </c>
      <c r="E22" s="14" t="inlineStr">
        <is>
          <t>2026-02-20</t>
        </is>
      </c>
      <c r="F22" s="15" t="n">
        <v>95</v>
      </c>
      <c r="G22" s="19" t="inlineStr">
        <is>
          <t>中</t>
        </is>
      </c>
      <c r="H22" s="18" t="inlineStr">
        <is>
          <t>进行中</t>
        </is>
      </c>
      <c r="I22" s="13" t="inlineStr">
        <is>
          <t>告警规则配置中</t>
        </is>
      </c>
    </row>
    <row r="23">
      <c r="A23" s="12" t="inlineStr">
        <is>
          <t>T21</t>
        </is>
      </c>
      <c r="B23" s="13" t="inlineStr">
        <is>
          <t>日志系统</t>
        </is>
      </c>
      <c r="C23" s="12" t="inlineStr">
        <is>
          <t>钱二十三</t>
        </is>
      </c>
      <c r="D23" s="14" t="inlineStr">
        <is>
          <t>2026-01-21</t>
        </is>
      </c>
      <c r="E23" s="14" t="inlineStr">
        <is>
          <t>2026-02-15</t>
        </is>
      </c>
      <c r="F23" s="15" t="n">
        <v>100</v>
      </c>
      <c r="G23" s="21" t="inlineStr">
        <is>
          <t>低</t>
        </is>
      </c>
      <c r="H23" s="17" t="inlineStr">
        <is>
          <t>已完成</t>
        </is>
      </c>
      <c r="I23" s="13" t="inlineStr">
        <is>
          <t>ELK已部署</t>
        </is>
      </c>
    </row>
    <row r="24">
      <c r="A24" s="12" t="inlineStr">
        <is>
          <t>T22</t>
        </is>
      </c>
      <c r="B24" s="13" t="inlineStr">
        <is>
          <t>邮件通知</t>
        </is>
      </c>
      <c r="C24" s="12" t="inlineStr">
        <is>
          <t>孙二十四</t>
        </is>
      </c>
      <c r="D24" s="14" t="inlineStr">
        <is>
          <t>2026-03-02</t>
        </is>
      </c>
      <c r="E24" s="14" t="inlineStr">
        <is>
          <t>2026-03-17</t>
        </is>
      </c>
      <c r="F24" s="15" t="n">
        <v>40</v>
      </c>
      <c r="G24" s="21" t="inlineStr">
        <is>
          <t>低</t>
        </is>
      </c>
      <c r="H24" s="18" t="inlineStr">
        <is>
          <t>进行中</t>
        </is>
      </c>
      <c r="I24" s="13" t="inlineStr">
        <is>
          <t>模板设计中</t>
        </is>
      </c>
    </row>
    <row r="25">
      <c r="A25" s="12" t="inlineStr">
        <is>
          <t>T23</t>
        </is>
      </c>
      <c r="B25" s="13" t="inlineStr">
        <is>
          <t>短信通知</t>
        </is>
      </c>
      <c r="C25" s="12" t="inlineStr">
        <is>
          <t>周二十五</t>
        </is>
      </c>
      <c r="D25" s="14" t="inlineStr">
        <is>
          <t>2026-03-07</t>
        </is>
      </c>
      <c r="E25" s="14" t="inlineStr">
        <is>
          <t>2026-03-22</t>
        </is>
      </c>
      <c r="F25" s="15" t="n">
        <v>0</v>
      </c>
      <c r="G25" s="21" t="inlineStr">
        <is>
          <t>低</t>
        </is>
      </c>
      <c r="H25" s="20" t="inlineStr">
        <is>
          <t>未开始</t>
        </is>
      </c>
      <c r="I25" s="13" t="inlineStr">
        <is>
          <t>等待审批</t>
        </is>
      </c>
    </row>
    <row r="26">
      <c r="A26" s="12" t="inlineStr">
        <is>
          <t>T24</t>
        </is>
      </c>
      <c r="B26" s="13" t="inlineStr">
        <is>
          <t>项目验收</t>
        </is>
      </c>
      <c r="C26" s="12" t="inlineStr">
        <is>
          <t>张三</t>
        </is>
      </c>
      <c r="D26" s="14" t="inlineStr">
        <is>
          <t>2026-03-27</t>
        </is>
      </c>
      <c r="E26" s="14" t="inlineStr">
        <is>
          <t>2026-04-01</t>
        </is>
      </c>
      <c r="F26" s="15" t="n">
        <v>0</v>
      </c>
      <c r="G26" s="16" t="inlineStr">
        <is>
          <t>高</t>
        </is>
      </c>
      <c r="H26" s="20" t="inlineStr">
        <is>
          <t>未开始</t>
        </is>
      </c>
      <c r="I26" s="13" t="inlineStr">
        <is>
          <t>准备验收材料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15" customWidth="1" min="5" max="5"/>
    <col width="20" customWidth="1" min="6" max="6"/>
    <col width="30" customWidth="1" min="7" max="7"/>
  </cols>
  <sheetData>
    <row r="1" ht="30" customHeight="1">
      <c r="A1" s="1" t="inlineStr">
        <is>
          <t>👥 团队成员信息</t>
        </is>
      </c>
    </row>
    <row r="2" ht="25" customHeight="1">
      <c r="A2" s="11" t="inlineStr">
        <is>
          <t>姓名</t>
        </is>
      </c>
      <c r="B2" s="11" t="inlineStr">
        <is>
          <t>角色</t>
        </is>
      </c>
      <c r="C2" s="11" t="inlineStr">
        <is>
          <t>邮箱</t>
        </is>
      </c>
      <c r="D2" s="11" t="inlineStr">
        <is>
          <t>电话</t>
        </is>
      </c>
      <c r="E2" s="11" t="inlineStr">
        <is>
          <t>部门</t>
        </is>
      </c>
      <c r="F2" s="11" t="inlineStr">
        <is>
          <t>负责任务数</t>
        </is>
      </c>
      <c r="G2" s="11" t="inlineStr">
        <is>
          <t>备注</t>
        </is>
      </c>
    </row>
    <row r="3">
      <c r="A3" s="12" t="inlineStr">
        <is>
          <t>张三</t>
        </is>
      </c>
      <c r="B3" s="12" t="inlineStr">
        <is>
          <t>项目经理</t>
        </is>
      </c>
      <c r="C3" s="13" t="inlineStr">
        <is>
          <t>zhangsan@company.com</t>
        </is>
      </c>
      <c r="D3" s="13" t="inlineStr">
        <is>
          <t>138-0000-0001</t>
        </is>
      </c>
      <c r="E3" s="13" t="inlineStr">
        <is>
          <t>项目管理</t>
        </is>
      </c>
      <c r="F3" s="13">
        <f>COUNTIF(任务列表!C:C,"张三")</f>
        <v/>
      </c>
      <c r="G3" s="13" t="inlineStr">
        <is>
          <t>项目负责人</t>
        </is>
      </c>
    </row>
    <row r="4">
      <c r="A4" s="12" t="inlineStr">
        <is>
          <t>李四</t>
        </is>
      </c>
      <c r="B4" s="12" t="inlineStr">
        <is>
          <t>架构师</t>
        </is>
      </c>
      <c r="C4" s="13" t="inlineStr">
        <is>
          <t>lisi@company.com</t>
        </is>
      </c>
      <c r="D4" s="13" t="inlineStr">
        <is>
          <t>138-0000-0002</t>
        </is>
      </c>
      <c r="E4" s="13" t="inlineStr">
        <is>
          <t>技术部</t>
        </is>
      </c>
      <c r="F4" s="13">
        <f>COUNTIF(任务列表!C:C,"李四")</f>
        <v/>
      </c>
      <c r="G4" s="13" t="inlineStr">
        <is>
          <t>系统架构设计</t>
        </is>
      </c>
    </row>
    <row r="5">
      <c r="A5" s="12" t="inlineStr">
        <is>
          <t>王五</t>
        </is>
      </c>
      <c r="B5" s="12" t="inlineStr">
        <is>
          <t>后端开发</t>
        </is>
      </c>
      <c r="C5" s="13" t="inlineStr">
        <is>
          <t>wangwu@company.com</t>
        </is>
      </c>
      <c r="D5" s="13" t="inlineStr">
        <is>
          <t>138-0000-0003</t>
        </is>
      </c>
      <c r="E5" s="13" t="inlineStr">
        <is>
          <t>技术部</t>
        </is>
      </c>
      <c r="F5" s="13">
        <f>COUNTIF(任务列表!C:C,"王五")</f>
        <v/>
      </c>
      <c r="G5" s="13" t="inlineStr">
        <is>
          <t>数据库专家</t>
        </is>
      </c>
    </row>
    <row r="6">
      <c r="A6" s="12" t="inlineStr">
        <is>
          <t>赵六</t>
        </is>
      </c>
      <c r="B6" s="12" t="inlineStr">
        <is>
          <t>前端开发</t>
        </is>
      </c>
      <c r="C6" s="13" t="inlineStr">
        <is>
          <t>zhaoliu@company.com</t>
        </is>
      </c>
      <c r="D6" s="13" t="inlineStr">
        <is>
          <t>138-0000-0004</t>
        </is>
      </c>
      <c r="E6" s="13" t="inlineStr">
        <is>
          <t>技术部</t>
        </is>
      </c>
      <c r="F6" s="13">
        <f>COUNTIF(任务列表!C:C,"赵六")</f>
        <v/>
      </c>
      <c r="G6" s="13" t="inlineStr">
        <is>
          <t>React/Vue专家</t>
        </is>
      </c>
    </row>
    <row r="7">
      <c r="A7" s="12" t="inlineStr">
        <is>
          <t>钱七</t>
        </is>
      </c>
      <c r="B7" s="12" t="inlineStr">
        <is>
          <t>后端开发</t>
        </is>
      </c>
      <c r="C7" s="13" t="inlineStr">
        <is>
          <t>qianqi@company.com</t>
        </is>
      </c>
      <c r="D7" s="13" t="inlineStr">
        <is>
          <t>138-0000-0005</t>
        </is>
      </c>
      <c r="E7" s="13" t="inlineStr">
        <is>
          <t>技术部</t>
        </is>
      </c>
      <c r="F7" s="13">
        <f>COUNTIF(任务列表!C:C,"钱七")</f>
        <v/>
      </c>
      <c r="G7" s="13" t="inlineStr">
        <is>
          <t>API开发</t>
        </is>
      </c>
    </row>
    <row r="8">
      <c r="A8" s="12" t="inlineStr">
        <is>
          <t>孙八</t>
        </is>
      </c>
      <c r="B8" s="12" t="inlineStr">
        <is>
          <t>全栈开发</t>
        </is>
      </c>
      <c r="C8" s="13" t="inlineStr">
        <is>
          <t>sunba@company.com</t>
        </is>
      </c>
      <c r="D8" s="13" t="inlineStr">
        <is>
          <t>138-0000-0006</t>
        </is>
      </c>
      <c r="E8" s="13" t="inlineStr">
        <is>
          <t>技术部</t>
        </is>
      </c>
      <c r="F8" s="13">
        <f>COUNTIF(任务列表!C:C,"孙八")</f>
        <v/>
      </c>
      <c r="G8" s="13" t="inlineStr">
        <is>
          <t>认证模块</t>
        </is>
      </c>
    </row>
    <row r="9">
      <c r="A9" s="12" t="inlineStr">
        <is>
          <t>周九</t>
        </is>
      </c>
      <c r="B9" s="12" t="inlineStr">
        <is>
          <t>前端开发</t>
        </is>
      </c>
      <c r="C9" s="13" t="inlineStr">
        <is>
          <t>zhoujiu@company.com</t>
        </is>
      </c>
      <c r="D9" s="13" t="inlineStr">
        <is>
          <t>138-0000-0007</t>
        </is>
      </c>
      <c r="E9" s="13" t="inlineStr">
        <is>
          <t>技术部</t>
        </is>
      </c>
      <c r="F9" s="13">
        <f>COUNTIF(任务列表!C:C,"周九")</f>
        <v/>
      </c>
      <c r="G9" s="13" t="inlineStr">
        <is>
          <t>数据可视化</t>
        </is>
      </c>
    </row>
    <row r="10">
      <c r="A10" s="12" t="inlineStr">
        <is>
          <t>吴十</t>
        </is>
      </c>
      <c r="B10" s="12" t="inlineStr">
        <is>
          <t>后端开发</t>
        </is>
      </c>
      <c r="C10" s="13" t="inlineStr">
        <is>
          <t>wushi@company.com</t>
        </is>
      </c>
      <c r="D10" s="13" t="inlineStr">
        <is>
          <t>138-0000-0008</t>
        </is>
      </c>
      <c r="E10" s="13" t="inlineStr">
        <is>
          <t>技术部</t>
        </is>
      </c>
      <c r="F10" s="13">
        <f>COUNTIF(任务列表!C:C,"吴十")</f>
        <v/>
      </c>
      <c r="G10" s="13" t="inlineStr">
        <is>
          <t>报表功能</t>
        </is>
      </c>
    </row>
    <row r="11">
      <c r="A11" s="12" t="inlineStr">
        <is>
          <t>郑十一</t>
        </is>
      </c>
      <c r="B11" s="12" t="inlineStr">
        <is>
          <t>移动端开发</t>
        </is>
      </c>
      <c r="C11" s="13" t="inlineStr">
        <is>
          <t>zheng11@company.com</t>
        </is>
      </c>
      <c r="D11" s="13" t="inlineStr">
        <is>
          <t>138-0000-0009</t>
        </is>
      </c>
      <c r="E11" s="13" t="inlineStr">
        <is>
          <t>技术部</t>
        </is>
      </c>
      <c r="F11" s="13">
        <f>COUNTIF(任务列表!C:C,"郑十一")</f>
        <v/>
      </c>
      <c r="G11" s="13" t="inlineStr">
        <is>
          <t>响应式设计</t>
        </is>
      </c>
    </row>
    <row r="12">
      <c r="A12" s="12" t="inlineStr">
        <is>
          <t>王十二</t>
        </is>
      </c>
      <c r="B12" s="12" t="inlineStr">
        <is>
          <t>性能优化</t>
        </is>
      </c>
      <c r="C12" s="13" t="inlineStr">
        <is>
          <t>wang12@company.com</t>
        </is>
      </c>
      <c r="D12" s="13" t="inlineStr">
        <is>
          <t>138-0000-0010</t>
        </is>
      </c>
      <c r="E12" s="13" t="inlineStr">
        <is>
          <t>技术部</t>
        </is>
      </c>
      <c r="F12" s="13">
        <f>COUNTIF(任务列表!C:C,"王十二")</f>
        <v/>
      </c>
      <c r="G12" s="13" t="inlineStr">
        <is>
          <t>性能调优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 ht="30" customHeight="1">
      <c r="A1" s="1" t="inlineStr">
        <is>
          <t>📊 项目进度汇总</t>
        </is>
      </c>
    </row>
    <row r="3" ht="25" customHeight="1">
      <c r="A3" s="4" t="inlineStr">
        <is>
          <t>按项目阶段</t>
        </is>
      </c>
    </row>
    <row r="4">
      <c r="A4" s="5" t="inlineStr">
        <is>
          <t>阶段</t>
        </is>
      </c>
      <c r="B4" s="5" t="inlineStr">
        <is>
          <t>任务数</t>
        </is>
      </c>
      <c r="C4" s="5" t="inlineStr">
        <is>
          <t>已完成</t>
        </is>
      </c>
      <c r="D4" s="5" t="inlineStr">
        <is>
          <t>进行中</t>
        </is>
      </c>
      <c r="E4" s="5" t="inlineStr">
        <is>
          <t>进度(%)</t>
        </is>
      </c>
    </row>
    <row r="5">
      <c r="A5" s="12" t="inlineStr">
        <is>
          <t>规划阶段</t>
        </is>
      </c>
      <c r="B5" s="12" t="n">
        <v>3</v>
      </c>
      <c r="C5" s="12" t="n">
        <v>3</v>
      </c>
      <c r="D5" s="12" t="n">
        <v>0</v>
      </c>
      <c r="E5" s="22" t="n">
        <v>100</v>
      </c>
    </row>
    <row r="6">
      <c r="A6" s="12" t="inlineStr">
        <is>
          <t>设计阶段</t>
        </is>
      </c>
      <c r="B6" s="12" t="n">
        <v>2</v>
      </c>
      <c r="C6" s="12" t="n">
        <v>2</v>
      </c>
      <c r="D6" s="12" t="n">
        <v>0</v>
      </c>
      <c r="E6" s="22" t="n">
        <v>100</v>
      </c>
    </row>
    <row r="7">
      <c r="A7" s="12" t="inlineStr">
        <is>
          <t>开发阶段</t>
        </is>
      </c>
      <c r="B7" s="12" t="n">
        <v>14</v>
      </c>
      <c r="C7" s="12" t="n">
        <v>2</v>
      </c>
      <c r="D7" s="12" t="n">
        <v>12</v>
      </c>
      <c r="E7" s="22" t="n">
        <v>58</v>
      </c>
    </row>
    <row r="8">
      <c r="A8" s="12" t="inlineStr">
        <is>
          <t>测试阶段</t>
        </is>
      </c>
      <c r="B8" s="12" t="n">
        <v>3</v>
      </c>
      <c r="C8" s="12" t="n">
        <v>1</v>
      </c>
      <c r="D8" s="12" t="n">
        <v>2</v>
      </c>
      <c r="E8" s="22" t="n">
        <v>75</v>
      </c>
    </row>
    <row r="9">
      <c r="A9" s="12" t="inlineStr">
        <is>
          <t>部署阶段</t>
        </is>
      </c>
      <c r="B9" s="12" t="n">
        <v>2</v>
      </c>
      <c r="C9" s="12" t="n">
        <v>0</v>
      </c>
      <c r="D9" s="12" t="n">
        <v>0</v>
      </c>
      <c r="E9" s="22" t="n">
        <v>0</v>
      </c>
    </row>
    <row r="11" ht="25" customHeight="1">
      <c r="A11" s="4" t="inlineStr">
        <is>
          <t>按优先级</t>
        </is>
      </c>
    </row>
    <row r="12">
      <c r="A12" s="5" t="inlineStr">
        <is>
          <t>优先级</t>
        </is>
      </c>
      <c r="B12" s="5" t="inlineStr">
        <is>
          <t>任务数</t>
        </is>
      </c>
      <c r="C12" s="5" t="inlineStr">
        <is>
          <t>已完成</t>
        </is>
      </c>
      <c r="D12" s="5" t="inlineStr">
        <is>
          <t>进行中</t>
        </is>
      </c>
      <c r="E12" s="5" t="inlineStr">
        <is>
          <t>进度(%)</t>
        </is>
      </c>
    </row>
    <row r="13">
      <c r="A13" s="16" t="inlineStr">
        <is>
          <t>高优先级</t>
        </is>
      </c>
      <c r="B13" s="12" t="n">
        <v>8</v>
      </c>
      <c r="C13" s="12" t="n">
        <v>4</v>
      </c>
      <c r="D13" s="12" t="n">
        <v>4</v>
      </c>
      <c r="E13" s="22" t="n">
        <v>65</v>
      </c>
    </row>
    <row r="14">
      <c r="A14" s="19" t="inlineStr">
        <is>
          <t>中优先级</t>
        </is>
      </c>
      <c r="B14" s="12" t="n">
        <v>12</v>
      </c>
      <c r="C14" s="12" t="n">
        <v>3</v>
      </c>
      <c r="D14" s="12" t="n">
        <v>9</v>
      </c>
      <c r="E14" s="22" t="n">
        <v>47</v>
      </c>
    </row>
    <row r="15">
      <c r="A15" s="21" t="inlineStr">
        <is>
          <t>低优先级</t>
        </is>
      </c>
      <c r="B15" s="12" t="n">
        <v>4</v>
      </c>
      <c r="C15" s="12" t="n">
        <v>1</v>
      </c>
      <c r="D15" s="12" t="n">
        <v>1</v>
      </c>
      <c r="E15" s="22" t="n">
        <v>40</v>
      </c>
    </row>
    <row r="17" ht="25" customHeight="1">
      <c r="A17" s="4" t="inlineStr">
        <is>
          <t>按成员工作量</t>
        </is>
      </c>
    </row>
    <row r="18">
      <c r="A18" s="5" t="inlineStr">
        <is>
          <t>成员</t>
        </is>
      </c>
      <c r="B18" s="5" t="inlineStr">
        <is>
          <t>任务数</t>
        </is>
      </c>
      <c r="C18" s="5" t="inlineStr">
        <is>
          <t>已完成</t>
        </is>
      </c>
      <c r="D18" s="5" t="inlineStr">
        <is>
          <t>进行中</t>
        </is>
      </c>
      <c r="E18" s="5" t="inlineStr">
        <is>
          <t>进度(%)</t>
        </is>
      </c>
    </row>
    <row r="19">
      <c r="A19" s="12" t="inlineStr">
        <is>
          <t>张三</t>
        </is>
      </c>
      <c r="B19" s="12" t="n">
        <v>2</v>
      </c>
      <c r="C19" s="12" t="n">
        <v>2</v>
      </c>
      <c r="D19" s="12" t="n">
        <v>0</v>
      </c>
      <c r="E19" s="22" t="n">
        <v>100</v>
      </c>
    </row>
    <row r="20">
      <c r="A20" s="12" t="inlineStr">
        <is>
          <t>李四</t>
        </is>
      </c>
      <c r="B20" s="12" t="n">
        <v>1</v>
      </c>
      <c r="C20" s="12" t="n">
        <v>1</v>
      </c>
      <c r="D20" s="12" t="n">
        <v>0</v>
      </c>
      <c r="E20" s="22" t="n">
        <v>100</v>
      </c>
    </row>
    <row r="21">
      <c r="A21" s="12" t="inlineStr">
        <is>
          <t>王五</t>
        </is>
      </c>
      <c r="B21" s="12" t="n">
        <v>1</v>
      </c>
      <c r="C21" s="12" t="n">
        <v>1</v>
      </c>
      <c r="D21" s="12" t="n">
        <v>0</v>
      </c>
      <c r="E21" s="22" t="n">
        <v>100</v>
      </c>
    </row>
    <row r="22">
      <c r="A22" s="12" t="inlineStr">
        <is>
          <t>赵六</t>
        </is>
      </c>
      <c r="B22" s="12" t="n">
        <v>1</v>
      </c>
      <c r="C22" s="12" t="n">
        <v>0</v>
      </c>
      <c r="D22" s="12" t="n">
        <v>1</v>
      </c>
      <c r="E22" s="22" t="n">
        <v>80</v>
      </c>
    </row>
    <row r="23">
      <c r="A23" s="12" t="inlineStr">
        <is>
          <t>钱七</t>
        </is>
      </c>
      <c r="B23" s="12" t="n">
        <v>1</v>
      </c>
      <c r="C23" s="12" t="n">
        <v>0</v>
      </c>
      <c r="D23" s="12" t="n">
        <v>1</v>
      </c>
      <c r="E23" s="22" t="n">
        <v>70</v>
      </c>
    </row>
    <row r="24">
      <c r="A24" s="12" t="inlineStr">
        <is>
          <t>孙八</t>
        </is>
      </c>
      <c r="B24" s="12" t="n">
        <v>1</v>
      </c>
      <c r="C24" s="12" t="n">
        <v>0</v>
      </c>
      <c r="D24" s="12" t="n">
        <v>1</v>
      </c>
      <c r="E24" s="22" t="n">
        <v>90</v>
      </c>
    </row>
    <row r="25">
      <c r="A25" s="12" t="inlineStr">
        <is>
          <t>周九</t>
        </is>
      </c>
      <c r="B25" s="12" t="n">
        <v>1</v>
      </c>
      <c r="C25" s="12" t="n">
        <v>0</v>
      </c>
      <c r="D25" s="12" t="n">
        <v>1</v>
      </c>
      <c r="E25" s="22" t="n">
        <v>60</v>
      </c>
    </row>
    <row r="26">
      <c r="A26" s="12" t="inlineStr">
        <is>
          <t>吴十</t>
        </is>
      </c>
      <c r="B26" s="12" t="n">
        <v>1</v>
      </c>
      <c r="C26" s="12" t="n">
        <v>0</v>
      </c>
      <c r="D26" s="12" t="n">
        <v>1</v>
      </c>
      <c r="E26" s="22" t="n">
        <v>45</v>
      </c>
    </row>
    <row r="27">
      <c r="A27" s="12" t="inlineStr">
        <is>
          <t>郑十一</t>
        </is>
      </c>
      <c r="B27" s="12" t="n">
        <v>1</v>
      </c>
      <c r="C27" s="12" t="n">
        <v>0</v>
      </c>
      <c r="D27" s="12" t="n">
        <v>1</v>
      </c>
      <c r="E27" s="22" t="n">
        <v>30</v>
      </c>
    </row>
    <row r="28">
      <c r="A28" s="12" t="inlineStr">
        <is>
          <t>王十二</t>
        </is>
      </c>
      <c r="B28" s="12" t="n">
        <v>1</v>
      </c>
      <c r="C28" s="12" t="n">
        <v>0</v>
      </c>
      <c r="D28" s="12" t="n">
        <v>1</v>
      </c>
      <c r="E28" s="22" t="n">
        <v>20</v>
      </c>
    </row>
    <row r="29">
      <c r="A29" s="12" t="inlineStr">
        <is>
          <t>李十三</t>
        </is>
      </c>
      <c r="B29" s="12" t="n">
        <v>1</v>
      </c>
      <c r="C29" s="12" t="n">
        <v>1</v>
      </c>
      <c r="D29" s="12" t="n">
        <v>0</v>
      </c>
      <c r="E29" s="22" t="n">
        <v>100</v>
      </c>
    </row>
    <row r="30">
      <c r="A30" s="12" t="inlineStr">
        <is>
          <t>赵十四</t>
        </is>
      </c>
      <c r="B30" s="12" t="n">
        <v>1</v>
      </c>
      <c r="C30" s="12" t="n">
        <v>0</v>
      </c>
      <c r="D30" s="12" t="n">
        <v>1</v>
      </c>
      <c r="E30" s="22" t="n">
        <v>75</v>
      </c>
    </row>
    <row r="31">
      <c r="A31" s="12" t="inlineStr">
        <is>
          <t>钱十五</t>
        </is>
      </c>
      <c r="B31" s="12" t="n">
        <v>1</v>
      </c>
      <c r="C31" s="12" t="n">
        <v>0</v>
      </c>
      <c r="D31" s="12" t="n">
        <v>0</v>
      </c>
      <c r="E31" s="22" t="n">
        <v>0</v>
      </c>
    </row>
    <row r="32">
      <c r="A32" s="12" t="inlineStr">
        <is>
          <t>孙十六</t>
        </is>
      </c>
      <c r="B32" s="12" t="n">
        <v>1</v>
      </c>
      <c r="C32" s="12" t="n">
        <v>0</v>
      </c>
      <c r="D32" s="12" t="n">
        <v>0</v>
      </c>
      <c r="E32" s="22" t="n">
        <v>0</v>
      </c>
    </row>
    <row r="33">
      <c r="A33" s="12" t="inlineStr">
        <is>
          <t>周十七</t>
        </is>
      </c>
      <c r="B33" s="12" t="n">
        <v>1</v>
      </c>
      <c r="C33" s="12" t="n">
        <v>1</v>
      </c>
      <c r="D33" s="12" t="n">
        <v>0</v>
      </c>
      <c r="E33" s="22" t="n">
        <v>100</v>
      </c>
    </row>
    <row r="34">
      <c r="A34" s="12" t="inlineStr">
        <is>
          <t>吴十八</t>
        </is>
      </c>
      <c r="B34" s="12" t="n">
        <v>1</v>
      </c>
      <c r="C34" s="12" t="n">
        <v>0</v>
      </c>
      <c r="D34" s="12" t="n">
        <v>0</v>
      </c>
      <c r="E34" s="22" t="n">
        <v>0</v>
      </c>
    </row>
    <row r="35">
      <c r="A35" s="12" t="inlineStr">
        <is>
          <t>郑十九</t>
        </is>
      </c>
      <c r="B35" s="12" t="n">
        <v>1</v>
      </c>
      <c r="C35" s="12" t="n">
        <v>0</v>
      </c>
      <c r="D35" s="12" t="n">
        <v>1</v>
      </c>
      <c r="E35" s="22" t="n">
        <v>85</v>
      </c>
    </row>
    <row r="36">
      <c r="A36" s="12" t="inlineStr">
        <is>
          <t>王二十</t>
        </is>
      </c>
      <c r="B36" s="12" t="n">
        <v>1</v>
      </c>
      <c r="C36" s="12" t="n">
        <v>0</v>
      </c>
      <c r="D36" s="12" t="n">
        <v>1</v>
      </c>
      <c r="E36" s="22" t="n">
        <v>50</v>
      </c>
    </row>
    <row r="37">
      <c r="A37" s="12" t="inlineStr">
        <is>
          <t>钱二十一</t>
        </is>
      </c>
      <c r="B37" s="12" t="n">
        <v>1</v>
      </c>
      <c r="C37" s="12" t="n">
        <v>1</v>
      </c>
      <c r="D37" s="12" t="n">
        <v>0</v>
      </c>
      <c r="E37" s="22" t="n">
        <v>100</v>
      </c>
    </row>
    <row r="38">
      <c r="A38" s="12" t="inlineStr">
        <is>
          <t>赵二十二</t>
        </is>
      </c>
      <c r="B38" s="12" t="n">
        <v>1</v>
      </c>
      <c r="C38" s="12" t="n">
        <v>0</v>
      </c>
      <c r="D38" s="12" t="n">
        <v>1</v>
      </c>
      <c r="E38" s="22" t="n">
        <v>95</v>
      </c>
    </row>
    <row r="39">
      <c r="A39" s="12" t="inlineStr">
        <is>
          <t>钱二十三</t>
        </is>
      </c>
      <c r="B39" s="12" t="n">
        <v>1</v>
      </c>
      <c r="C39" s="12" t="n">
        <v>1</v>
      </c>
      <c r="D39" s="12" t="n">
        <v>0</v>
      </c>
      <c r="E39" s="22" t="n">
        <v>100</v>
      </c>
    </row>
    <row r="40">
      <c r="A40" s="12" t="inlineStr">
        <is>
          <t>孙二十四</t>
        </is>
      </c>
      <c r="B40" s="12" t="n">
        <v>1</v>
      </c>
      <c r="C40" s="12" t="n">
        <v>0</v>
      </c>
      <c r="D40" s="12" t="n">
        <v>1</v>
      </c>
      <c r="E40" s="22" t="n">
        <v>40</v>
      </c>
    </row>
    <row r="41">
      <c r="A41" s="12" t="inlineStr">
        <is>
          <t>周二十五</t>
        </is>
      </c>
      <c r="B41" s="12" t="n">
        <v>1</v>
      </c>
      <c r="C41" s="12" t="n">
        <v>0</v>
      </c>
      <c r="D41" s="12" t="n">
        <v>0</v>
      </c>
      <c r="E41" s="22" t="n">
        <v>0</v>
      </c>
    </row>
  </sheetData>
  <mergeCells count="4">
    <mergeCell ref="A11:E11"/>
    <mergeCell ref="A1:E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2026-01-09T08:15:20Z</dcterms:created>
  <dcterms:modified xmlns:dcterms="http://purl.org/dc/terms/" xmlns:xsi="http://www.w3.org/2001/XMLSchema-instance" xsi:type="dcterms:W3CDTF">2026-01-09T08:15:20Z</dcterms:modified>
</cp:coreProperties>
</file>